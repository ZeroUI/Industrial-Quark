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ZeroUI GitHub\Ziro\Electronics\V2.0 Wifi\Documentation\"/>
    </mc:Choice>
  </mc:AlternateContent>
  <bookViews>
    <workbookView xWindow="0" yWindow="0" windowWidth="28800" windowHeight="12210"/>
  </bookViews>
  <sheets>
    <sheet name="Sheet2" sheetId="2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7" i="2"/>
  <c r="C8" i="2"/>
  <c r="C6" i="2"/>
  <c r="C9" i="2"/>
  <c r="C5" i="2"/>
  <c r="C10" i="2"/>
  <c r="C11" i="2"/>
  <c r="C3" i="2"/>
  <c r="D11" i="2" l="1"/>
  <c r="E11" i="2"/>
  <c r="F11" i="2"/>
  <c r="D10" i="2"/>
  <c r="F10" i="2"/>
  <c r="E10" i="2"/>
  <c r="E5" i="2"/>
  <c r="D5" i="2"/>
  <c r="F5" i="2"/>
  <c r="D9" i="2"/>
  <c r="E9" i="2"/>
  <c r="F9" i="2"/>
  <c r="D6" i="2"/>
  <c r="F6" i="2"/>
  <c r="E6" i="2"/>
  <c r="D8" i="2"/>
  <c r="E8" i="2"/>
  <c r="F8" i="2"/>
  <c r="D7" i="2"/>
  <c r="F7" i="2"/>
  <c r="E7" i="2"/>
  <c r="D4" i="2"/>
  <c r="F4" i="2"/>
  <c r="E4" i="2"/>
  <c r="F3" i="2"/>
  <c r="E3" i="2"/>
  <c r="D3" i="2"/>
</calcChain>
</file>

<file path=xl/comments1.xml><?xml version="1.0" encoding="utf-8"?>
<comments xmlns="http://schemas.openxmlformats.org/spreadsheetml/2006/main">
  <authors>
    <author>Nikhil Jali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Nikhil Jali:</t>
        </r>
        <r>
          <rPr>
            <sz val="9"/>
            <color indexed="81"/>
            <rFont val="Tahoma"/>
            <family val="2"/>
          </rPr>
          <t xml:space="preserve">
Change Background Colors below to view the corresponding RGB Values
</t>
        </r>
      </text>
    </comment>
  </commentList>
</comments>
</file>

<file path=xl/sharedStrings.xml><?xml version="1.0" encoding="utf-8"?>
<sst xmlns="http://schemas.openxmlformats.org/spreadsheetml/2006/main" count="11" uniqueCount="11">
  <si>
    <t>-</t>
  </si>
  <si>
    <t>Color Schemes</t>
  </si>
  <si>
    <t>Red</t>
  </si>
  <si>
    <t>Green</t>
  </si>
  <si>
    <t>Blue</t>
  </si>
  <si>
    <t>[R,G,B]</t>
  </si>
  <si>
    <t>LED PWM VALUES</t>
  </si>
  <si>
    <t>This color is used for STOP Command</t>
  </si>
  <si>
    <t>Module #</t>
  </si>
  <si>
    <t>NOTE: 
Final Color on Modules dependent on Plastic  and PWM Frequency set in Quark</t>
  </si>
  <si>
    <t>Change above background colors and hit Recalculate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</si>
</sst>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127D4"/>
        <bgColor indexed="64"/>
      </patternFill>
    </fill>
    <fill>
      <patternFill patternType="solid">
        <fgColor rgb="FF0461D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0" fillId="0" borderId="1" xfId="0" applyNumberFormat="1" applyBorder="1" applyAlignment="1">
      <alignment horizontal="left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FFFFFF"/>
      <color rgb="FF00FF00"/>
      <color rgb="FFFF0505"/>
      <color rgb="FF0461D2"/>
      <color rgb="FFF127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11</xdr:row>
          <xdr:rowOff>171450</xdr:rowOff>
        </xdr:from>
        <xdr:to>
          <xdr:col>4</xdr:col>
          <xdr:colOff>171450</xdr:colOff>
          <xdr:row>14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C2BD101-9BBC-4D53-B927-218FD7E7D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 Colors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8"/>
  <sheetViews>
    <sheetView tabSelected="1" workbookViewId="0">
      <selection activeCell="A19" sqref="A19"/>
    </sheetView>
  </sheetViews>
  <sheetFormatPr defaultRowHeight="15" x14ac:dyDescent="0.25"/>
  <cols>
    <col min="1" max="1" width="9.28515625" style="1" bestFit="1" customWidth="1"/>
    <col min="2" max="2" width="14.140625" style="1" bestFit="1" customWidth="1"/>
    <col min="3" max="3" width="15.5703125" style="1" customWidth="1"/>
    <col min="4" max="5" width="7.5703125" style="1" bestFit="1" customWidth="1"/>
    <col min="6" max="6" width="6.5703125" style="1" bestFit="1" customWidth="1"/>
    <col min="7" max="7" width="34.28515625" style="1" bestFit="1" customWidth="1"/>
    <col min="8" max="9" width="9.140625" style="1"/>
    <col min="10" max="10" width="11.5703125" style="1" customWidth="1"/>
    <col min="11" max="16384" width="9.140625" style="1"/>
  </cols>
  <sheetData>
    <row r="1" spans="1:11" x14ac:dyDescent="0.25">
      <c r="B1" s="2"/>
      <c r="C1" s="2"/>
      <c r="D1" s="3" t="s">
        <v>6</v>
      </c>
      <c r="E1" s="3"/>
      <c r="F1" s="3"/>
    </row>
    <row r="2" spans="1:11" x14ac:dyDescent="0.25">
      <c r="A2" s="16" t="s">
        <v>8</v>
      </c>
      <c r="B2" s="16" t="s">
        <v>1</v>
      </c>
      <c r="C2" s="16" t="s">
        <v>5</v>
      </c>
      <c r="D2" s="16" t="s">
        <v>2</v>
      </c>
      <c r="E2" s="16" t="s">
        <v>3</v>
      </c>
      <c r="F2" s="16" t="s">
        <v>4</v>
      </c>
    </row>
    <row r="3" spans="1:11" x14ac:dyDescent="0.25">
      <c r="A3" s="4" t="s">
        <v>0</v>
      </c>
      <c r="B3" s="5"/>
      <c r="C3" s="4" t="str">
        <f ca="1">getRGB(B3)</f>
        <v>255, 0, 0</v>
      </c>
      <c r="D3" s="11">
        <f ca="1">LEFT($C3, SEARCH(",",$C3,1)-1)/255*1023</f>
        <v>1023</v>
      </c>
      <c r="E3" s="11">
        <f ca="1">MID(C3, SEARCH(",",C3) + 1, SEARCH(",",C3,SEARCH(",",C3)+1) - SEARCH(",",C3) - 1)/255*1023</f>
        <v>0</v>
      </c>
      <c r="F3" s="11">
        <f ca="1">RIGHT(C3,LEN(C3) - SEARCH(",", C3, SEARCH(",", C3) + 1))/255*1023</f>
        <v>0</v>
      </c>
      <c r="G3" s="1" t="s">
        <v>7</v>
      </c>
    </row>
    <row r="4" spans="1:11" x14ac:dyDescent="0.25">
      <c r="A4" s="4">
        <v>1</v>
      </c>
      <c r="B4" s="7"/>
      <c r="C4" s="4" t="str">
        <f t="shared" ref="C4:C11" ca="1" si="0">getRGB(B4)</f>
        <v>255, 255, 0</v>
      </c>
      <c r="D4" s="11">
        <f ca="1">LEFT($C4, SEARCH(",",$C4,1)-1)/255*1023</f>
        <v>1023</v>
      </c>
      <c r="E4" s="11">
        <f t="shared" ref="E4:E11" ca="1" si="1">MID(C4, SEARCH(",",C4) + 1, SEARCH(",",C4,SEARCH(",",C4)+1) - SEARCH(",",C4) - 1)/255*1023</f>
        <v>1023</v>
      </c>
      <c r="F4" s="11">
        <f t="shared" ref="F4:F11" ca="1" si="2">RIGHT(C4,LEN(C4) - SEARCH(",", C4, SEARCH(",", C4) + 1))/255*1023</f>
        <v>0</v>
      </c>
    </row>
    <row r="5" spans="1:11" ht="15" customHeight="1" x14ac:dyDescent="0.25">
      <c r="A5" s="4">
        <v>2</v>
      </c>
      <c r="B5" s="8"/>
      <c r="C5" s="4" t="str">
        <f t="shared" ca="1" si="0"/>
        <v>0, 176, 80</v>
      </c>
      <c r="D5" s="11">
        <f ca="1">LEFT($C5, SEARCH(",",$C5,1)-1)/255*1023</f>
        <v>0</v>
      </c>
      <c r="E5" s="11">
        <f t="shared" ca="1" si="1"/>
        <v>706.07058823529405</v>
      </c>
      <c r="F5" s="11">
        <f t="shared" ca="1" si="2"/>
        <v>320.94117647058823</v>
      </c>
      <c r="H5" s="15" t="s">
        <v>9</v>
      </c>
      <c r="I5" s="15"/>
      <c r="J5" s="15"/>
      <c r="K5" s="15"/>
    </row>
    <row r="6" spans="1:11" x14ac:dyDescent="0.25">
      <c r="A6" s="4">
        <v>3</v>
      </c>
      <c r="B6" s="9"/>
      <c r="C6" s="4" t="str">
        <f t="shared" ca="1" si="0"/>
        <v>241, 39, 212</v>
      </c>
      <c r="D6" s="11">
        <f ca="1">LEFT($C6, SEARCH(",",$C6,1)-1)/255*1023</f>
        <v>966.83529411764698</v>
      </c>
      <c r="E6" s="11">
        <f t="shared" ca="1" si="1"/>
        <v>156.45882352941177</v>
      </c>
      <c r="F6" s="11">
        <f t="shared" ca="1" si="2"/>
        <v>850.49411764705883</v>
      </c>
      <c r="H6" s="15"/>
      <c r="I6" s="15"/>
      <c r="J6" s="15"/>
      <c r="K6" s="15"/>
    </row>
    <row r="7" spans="1:11" x14ac:dyDescent="0.25">
      <c r="A7" s="4">
        <v>4</v>
      </c>
      <c r="B7" s="10"/>
      <c r="C7" s="4" t="str">
        <f t="shared" ca="1" si="0"/>
        <v>4, 97, 210</v>
      </c>
      <c r="D7" s="11">
        <f ca="1">LEFT($C7, SEARCH(",",$C7,1)-1)/255*1023</f>
        <v>16.047058823529412</v>
      </c>
      <c r="E7" s="11">
        <f t="shared" ca="1" si="1"/>
        <v>389.14117647058822</v>
      </c>
      <c r="F7" s="11">
        <f t="shared" ca="1" si="2"/>
        <v>842.47058823529403</v>
      </c>
      <c r="H7" s="15"/>
      <c r="I7" s="15"/>
      <c r="J7" s="15"/>
      <c r="K7" s="15"/>
    </row>
    <row r="8" spans="1:11" x14ac:dyDescent="0.25">
      <c r="A8" s="4">
        <v>5</v>
      </c>
      <c r="B8" s="6"/>
      <c r="C8" s="4" t="str">
        <f t="shared" ca="1" si="0"/>
        <v>255, 192, 0</v>
      </c>
      <c r="D8" s="11">
        <f ca="1">LEFT($C8, SEARCH(",",$C8,1)-1)/255*1023</f>
        <v>1023</v>
      </c>
      <c r="E8" s="11">
        <f t="shared" ca="1" si="1"/>
        <v>770.25882352941176</v>
      </c>
      <c r="F8" s="11">
        <f t="shared" ca="1" si="2"/>
        <v>0</v>
      </c>
      <c r="H8" s="15"/>
      <c r="I8" s="15"/>
      <c r="J8" s="15"/>
      <c r="K8" s="15"/>
    </row>
    <row r="9" spans="1:11" x14ac:dyDescent="0.25">
      <c r="A9" s="4">
        <v>6</v>
      </c>
      <c r="B9" s="12"/>
      <c r="C9" s="4" t="str">
        <f t="shared" ca="1" si="0"/>
        <v>0, 255, 0</v>
      </c>
      <c r="D9" s="11">
        <f ca="1">LEFT($C9, SEARCH(",",$C9,1)-1)/255*1023</f>
        <v>0</v>
      </c>
      <c r="E9" s="11">
        <f t="shared" ca="1" si="1"/>
        <v>1023</v>
      </c>
      <c r="F9" s="11">
        <f t="shared" ca="1" si="2"/>
        <v>0</v>
      </c>
    </row>
    <row r="10" spans="1:11" x14ac:dyDescent="0.25">
      <c r="A10" s="4">
        <v>7</v>
      </c>
      <c r="B10" s="13"/>
      <c r="C10" s="4" t="str">
        <f t="shared" ca="1" si="0"/>
        <v>255, 255, 255</v>
      </c>
      <c r="D10" s="11">
        <f ca="1">LEFT($C10, SEARCH(",",$C10,1)-1)/255*1023</f>
        <v>1023</v>
      </c>
      <c r="E10" s="11">
        <f t="shared" ca="1" si="1"/>
        <v>1023</v>
      </c>
      <c r="F10" s="11">
        <f t="shared" ca="1" si="2"/>
        <v>1023</v>
      </c>
    </row>
    <row r="11" spans="1:11" x14ac:dyDescent="0.25">
      <c r="A11" s="4">
        <v>8</v>
      </c>
      <c r="B11" s="14"/>
      <c r="C11" s="4" t="str">
        <f t="shared" ca="1" si="0"/>
        <v>0, 255, 255</v>
      </c>
      <c r="D11" s="11">
        <f ca="1">LEFT($C11, SEARCH(",",$C11,1)-1)/255*1023</f>
        <v>0</v>
      </c>
      <c r="E11" s="11">
        <f t="shared" ca="1" si="1"/>
        <v>1023</v>
      </c>
      <c r="F11" s="11">
        <f t="shared" ca="1" si="2"/>
        <v>1023</v>
      </c>
    </row>
    <row r="18" spans="1:3" ht="34.5" customHeight="1" x14ac:dyDescent="0.25">
      <c r="A18" s="15" t="s">
        <v>10</v>
      </c>
      <c r="B18" s="17"/>
      <c r="C18" s="17"/>
    </row>
  </sheetData>
  <mergeCells count="3">
    <mergeCell ref="D1:F1"/>
    <mergeCell ref="H5:K8"/>
    <mergeCell ref="A18:C18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704850</xdr:colOff>
                    <xdr:row>11</xdr:row>
                    <xdr:rowOff>171450</xdr:rowOff>
                  </from>
                  <to>
                    <xdr:col>4</xdr:col>
                    <xdr:colOff>171450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Jali</dc:creator>
  <cp:lastModifiedBy>Nikhil Jali</cp:lastModifiedBy>
  <cp:lastPrinted>2016-12-02T04:36:15Z</cp:lastPrinted>
  <dcterms:created xsi:type="dcterms:W3CDTF">2016-12-02T01:50:22Z</dcterms:created>
  <dcterms:modified xsi:type="dcterms:W3CDTF">2016-12-13T02:12:07Z</dcterms:modified>
</cp:coreProperties>
</file>